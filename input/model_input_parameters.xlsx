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d9df8db31081ae6/Professional/NIE/NPY/input/"/>
    </mc:Choice>
  </mc:AlternateContent>
  <xr:revisionPtr revIDLastSave="47" documentId="11_DCE96F00D9F16611A97AEE7A14162298E2759603" xr6:coauthVersionLast="47" xr6:coauthVersionMax="47" xr10:uidLastSave="{9B324119-A618-47B5-B4C0-F576B0FF3B39}"/>
  <bookViews>
    <workbookView xWindow="-120" yWindow="-120" windowWidth="29040" windowHeight="15720" tabRatio="500" xr2:uid="{00000000-000D-0000-FFFF-FFFF00000000}"/>
  </bookViews>
  <sheets>
    <sheet name="Parameter" sheetId="1" r:id="rId1"/>
    <sheet name="NPY transf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1" l="1"/>
  <c r="C73" i="1"/>
  <c r="C8" i="3"/>
  <c r="C7" i="3"/>
</calcChain>
</file>

<file path=xl/sharedStrings.xml><?xml version="1.0" encoding="utf-8"?>
<sst xmlns="http://schemas.openxmlformats.org/spreadsheetml/2006/main" count="346" uniqueCount="199">
  <si>
    <t>Parameter</t>
  </si>
  <si>
    <t>description</t>
  </si>
  <si>
    <t>base_value</t>
  </si>
  <si>
    <t>ci_lower</t>
  </si>
  <si>
    <t>ci_upper</t>
  </si>
  <si>
    <t>distribution</t>
  </si>
  <si>
    <t>sum_check_group</t>
  </si>
  <si>
    <t>notes</t>
  </si>
  <si>
    <t>Probabilities</t>
  </si>
  <si>
    <t>Receipt probabilities</t>
  </si>
  <si>
    <t>p_soc_timely</t>
  </si>
  <si>
    <t>Status quo: timely receipt</t>
  </si>
  <si>
    <t>dirichlet</t>
  </si>
  <si>
    <t>SoC_receipt</t>
  </si>
  <si>
    <t>Must sum to 1 with p_soc_del + p_soc_nr | CI widened to +/-20% (2026-08-19): the sample-derived CI was an artifact of the large underlying cohort size, not a genuine measure of real-world variability; replaces original CI 0.1702-0.172.</t>
  </si>
  <si>
    <t>p_soc_del</t>
  </si>
  <si>
    <t>Status quo: delayed receipt</t>
  </si>
  <si>
    <t>Must sum to 1 | CI widened to +/-20% (2026-08-19): the sample-derived CI was an artifact of the large underlying cohort size, not a genuine measure of real-world variability; replaces original CI 0.6237-0.626.</t>
  </si>
  <si>
    <t>p_soc_nr</t>
  </si>
  <si>
    <t>Status quo: non-receipt</t>
  </si>
  <si>
    <t>Must sum to 1 | CI widened to +/-20% (2026-08-19): the sample-derived CI was an artifact of the large underlying cohort size, not a genuine measure of real-world variability; replaces original CI 0.2031-0.205.</t>
  </si>
  <si>
    <t>p_ri_timely</t>
  </si>
  <si>
    <t>Realistic improvement: timely</t>
  </si>
  <si>
    <t>RI_receipt</t>
  </si>
  <si>
    <t>Must sum to 1 with p_ri_delayed + p_ri_nr</t>
  </si>
  <si>
    <t>p_ri_delayed</t>
  </si>
  <si>
    <t>Realistic improvement: delayed</t>
  </si>
  <si>
    <t>Must sum to 1</t>
  </si>
  <si>
    <t>p_ri_nr</t>
  </si>
  <si>
    <t>Realistic improvement: non-receipt</t>
  </si>
  <si>
    <t>p_ii_timely</t>
  </si>
  <si>
    <t>Ideal improvement: timely (fixed)</t>
  </si>
  <si>
    <t>fixed</t>
  </si>
  <si>
    <t>II_receipt</t>
  </si>
  <si>
    <t>Fixed = 1. Do not change</t>
  </si>
  <si>
    <t>p_ii_delayed</t>
  </si>
  <si>
    <t>Ideal improvement: delayed (fixed)</t>
  </si>
  <si>
    <t>Fixed = 0</t>
  </si>
  <si>
    <t>p_ii_nr</t>
  </si>
  <si>
    <t>Ideal improvement: non-receipt (fixed)</t>
  </si>
  <si>
    <t>TB type probabilities</t>
  </si>
  <si>
    <t>p_timely_dstb</t>
  </si>
  <si>
    <t>Timely: probability DS-TB</t>
  </si>
  <si>
    <t>timely_TBtype</t>
  </si>
  <si>
    <t>DS+DR must sum to 1</t>
  </si>
  <si>
    <t>p_timely_drtb</t>
  </si>
  <si>
    <t>Timely: probability DR-TB</t>
  </si>
  <si>
    <t>p_del_dstb</t>
  </si>
  <si>
    <t>Delayed: probability DS-TB</t>
  </si>
  <si>
    <t>del_TBtype</t>
  </si>
  <si>
    <t>p_del_drtb</t>
  </si>
  <si>
    <t>Delayed: probability DR-TB</t>
  </si>
  <si>
    <t>p_nr_dstb</t>
  </si>
  <si>
    <t>Non-receipt: probability DS-TB</t>
  </si>
  <si>
    <t>nr_TBtype</t>
  </si>
  <si>
    <t>p_nr_drtb</t>
  </si>
  <si>
    <t>Non-receipt: probability DR-TB</t>
  </si>
  <si>
    <t>DS-TB treatment outcomes</t>
  </si>
  <si>
    <t>p_timely_dstb_suc</t>
  </si>
  <si>
    <t>Timely DS-TB: treatment success</t>
  </si>
  <si>
    <t>timely_DSTB_out</t>
  </si>
  <si>
    <t>suc+unsuc+die must=1 — use Dirichlet PSA</t>
  </si>
  <si>
    <t>p_timely_dstb_unsuc</t>
  </si>
  <si>
    <t>Timely DS-TB: treatment failure</t>
  </si>
  <si>
    <t>suc+unsuc+die must=1</t>
  </si>
  <si>
    <t>p_timely_dstb_die</t>
  </si>
  <si>
    <t>Timely DS-TB: direct death</t>
  </si>
  <si>
    <t>p_del_dstb_suc</t>
  </si>
  <si>
    <t>Delayed DS-TB: treatment success</t>
  </si>
  <si>
    <t>del_DSTB_out</t>
  </si>
  <si>
    <t>p_del_dstb_unsuc</t>
  </si>
  <si>
    <t>Delayed DS-TB: treatment failure</t>
  </si>
  <si>
    <t>p_del_dstb_die</t>
  </si>
  <si>
    <t>Delayed DS-TB: direct death</t>
  </si>
  <si>
    <t>p_nr_dstb_suc</t>
  </si>
  <si>
    <t>Non-receipt DS-TB: success</t>
  </si>
  <si>
    <t>nr_DSTB_out</t>
  </si>
  <si>
    <t>p_nr_dstb_unsuc</t>
  </si>
  <si>
    <t>Non-receipt DS-TB: failure</t>
  </si>
  <si>
    <t>p_nr_dstb_die</t>
  </si>
  <si>
    <t>Non-receipt DS-TB: direct death</t>
  </si>
  <si>
    <t>DR-TB treatment outcomes</t>
  </si>
  <si>
    <t>p_timely_drtb_suc</t>
  </si>
  <si>
    <t>Timely DR-TB: treatment success</t>
  </si>
  <si>
    <t>timely_DRTB_out</t>
  </si>
  <si>
    <t>p_timely_drtb_unsuc</t>
  </si>
  <si>
    <t>Timely DR-TB: treatment failure</t>
  </si>
  <si>
    <t>p_timely_drtb_die</t>
  </si>
  <si>
    <t>Timely DR-TB: direct death</t>
  </si>
  <si>
    <t>p_del_drtb_suc</t>
  </si>
  <si>
    <t>Delayed DR-TB: treatment success</t>
  </si>
  <si>
    <t>del_DRTB_out</t>
  </si>
  <si>
    <t>p_del_drtb_unsuc</t>
  </si>
  <si>
    <t>Delayed DR-TB: treatment failure</t>
  </si>
  <si>
    <t>p_del_drtb_die</t>
  </si>
  <si>
    <t>Delayed DR-TB: direct death</t>
  </si>
  <si>
    <t>p_nr_drtb_suc</t>
  </si>
  <si>
    <t>Non-receipt DR-TB: success</t>
  </si>
  <si>
    <t>nr_DRTB_out</t>
  </si>
  <si>
    <t>p_nr_drtb_unsuc</t>
  </si>
  <si>
    <t>Non-receipt DR-TB: failure</t>
  </si>
  <si>
    <t>p_nr_drtb_die</t>
  </si>
  <si>
    <t>Non-receipt DR-TB: direct death</t>
  </si>
  <si>
    <t>Utilities</t>
  </si>
  <si>
    <t>Year 1 — utility during treatment</t>
  </si>
  <si>
    <t>uv_dstb_during</t>
  </si>
  <si>
    <t>DS-TB: utility during treatment (yr 1)</t>
  </si>
  <si>
    <t>beta</t>
  </si>
  <si>
    <t>Source: study data. Used in yr 1 QALY calculation</t>
  </si>
  <si>
    <t>uv_drtb_suc_during</t>
  </si>
  <si>
    <t>DR-TB success: utility during treatment (yr 1)</t>
  </si>
  <si>
    <t>Source: study data</t>
  </si>
  <si>
    <t>uv_drtb_fail_during</t>
  </si>
  <si>
    <t>DR-TB failure: utility during treatment (yr 1)</t>
  </si>
  <si>
    <t>Same as success during treatment per source</t>
  </si>
  <si>
    <t>uv_dstb_fail_during</t>
  </si>
  <si>
    <t>DS-TB failure: utility during treatment (yr 1)</t>
  </si>
  <si>
    <t>Death</t>
  </si>
  <si>
    <t>utility_death</t>
  </si>
  <si>
    <t>Death state utility</t>
  </si>
  <si>
    <t>Fixed at 0 by convention</t>
  </si>
  <si>
    <t>Model settings for QALY calculation</t>
  </si>
  <si>
    <t>Costs</t>
  </si>
  <si>
    <t>Timely receipt costs</t>
  </si>
  <si>
    <t>cost_timely_DSTB_suc</t>
  </si>
  <si>
    <t>gamma</t>
  </si>
  <si>
    <t>USD</t>
  </si>
  <si>
    <t>Gamma distribution for PSA. Price year 2023</t>
  </si>
  <si>
    <t>cost_timely_DSTB_unsuc</t>
  </si>
  <si>
    <t>cost_timely_DSTB_die</t>
  </si>
  <si>
    <t>Timely DS-TB: death</t>
  </si>
  <si>
    <t>cost_timely_DRTB_suc</t>
  </si>
  <si>
    <t>cost_timely_DRTB_unsuc</t>
  </si>
  <si>
    <t>cost_timely_DRTB_die</t>
  </si>
  <si>
    <t>Timely DR-TB: death</t>
  </si>
  <si>
    <t>Delayed receipt costs</t>
  </si>
  <si>
    <t>cost_del_DSTB_suc</t>
  </si>
  <si>
    <t>cost_del_DSTB_unsuc</t>
  </si>
  <si>
    <t>cost_del_DSTB_die</t>
  </si>
  <si>
    <t>Delayed DS-TB: death</t>
  </si>
  <si>
    <t>cost_del_DRTB_suc</t>
  </si>
  <si>
    <t>cost_del_DRTB_unsuc</t>
  </si>
  <si>
    <t>cost_del_DRTB_die</t>
  </si>
  <si>
    <t>Delayed DR-TB: death</t>
  </si>
  <si>
    <t>Non-receipt costs</t>
  </si>
  <si>
    <t>cost_nr_DSTB_suc</t>
  </si>
  <si>
    <t>cost_nr_DSTB_unsuc</t>
  </si>
  <si>
    <t>cost_nr_DSTB_die</t>
  </si>
  <si>
    <t>Non-receipt DS-TB: death</t>
  </si>
  <si>
    <t>cost_nr_DRTB_suc</t>
  </si>
  <si>
    <t>cost_nr_DRTB_unsuc</t>
  </si>
  <si>
    <t>cost_nr_DRTB_die</t>
  </si>
  <si>
    <t>Non-receipt DR-TB: death</t>
  </si>
  <si>
    <t>Model settings</t>
  </si>
  <si>
    <t>cohort_size</t>
  </si>
  <si>
    <t>Population size for deaths averted</t>
  </si>
  <si>
    <t>Scale deaths averted to this population</t>
  </si>
  <si>
    <t>wtp_threshold</t>
  </si>
  <si>
    <t>Willingness-to-pay per QALY (USD)</t>
  </si>
  <si>
    <t>India benchmark ~$2,500 (1x GDP per capita)</t>
  </si>
  <si>
    <t>parameter</t>
  </si>
  <si>
    <t>Calculation shown</t>
  </si>
  <si>
    <t>unit</t>
  </si>
  <si>
    <t>status</t>
  </si>
  <si>
    <t>multiplier_success</t>
  </si>
  <si>
    <t>Share of full transfer received if treatment succeeds</t>
  </si>
  <si>
    <t>fraction</t>
  </si>
  <si>
    <t>CONFIRMED</t>
  </si>
  <si>
    <t>success gets full transfer.</t>
  </si>
  <si>
    <t>multiplier_unsuccessful</t>
  </si>
  <si>
    <t>Share of full transfer received if failure / lost-to-follow-up</t>
  </si>
  <si>
    <t>same as success -- failure/LTFU assumed to survive long enough to receive the full transfer, unlike death.</t>
  </si>
  <si>
    <t>multiplier_death</t>
  </si>
  <si>
    <t>Share of full transfer received if death</t>
  </si>
  <si>
    <t>death usually occurs within the first ~3 months (literature-supported), so typically only the first lump sum (50% of the DS-TB course total) is received. Applied to both DS-TB and DR-TB pending the DR-TB schedule confirmation above.</t>
  </si>
  <si>
    <t>inr_to_usd_2026</t>
  </si>
  <si>
    <t>INR to 2026 USD conversion rate used elsewhere in the model (reference only -- the two rows above already show their own USD conversion as a formula)</t>
  </si>
  <si>
    <t>INR/USD</t>
  </si>
  <si>
    <t>carried from main model</t>
  </si>
  <si>
    <t>Same flat rate used in 00_config.R / manuscript currency section. The main model's cost_* parameters were converted via the fuller Turner et al. (2019) method; this flat rate is a simplification, kept for reference.</t>
  </si>
  <si>
    <t>full_transfer_dstb_usd</t>
  </si>
  <si>
    <t>Full NPY transfer for DS-TB course, in USD (2 lump sums: Rs.3000 at diagnosis + Rs.3000 at ~84 days)</t>
  </si>
  <si>
    <t xml:space="preserve"> See 'Calculation shown' column for the Rs.6000 / 92.6 exchange-rate formula.</t>
  </si>
  <si>
    <t>full_transfer_drtb_usd</t>
  </si>
  <si>
    <t>Full NPY transfer for DR-TB course, in USD (2+ lump sums; exact schedule not confirmed)</t>
  </si>
  <si>
    <t>needs confirmation</t>
  </si>
  <si>
    <t>Derived from existing costing assumption (12 months x Rs.1000), DBT manual describes a continuous 28-day disbursement + possible episode-restart on regimen change, not a fixed lump count for DR-TB specifically. 
Replace with real figure if known -- see 'Calculation shown' column for the Rs.12000 / 92.6 exchange-rate formula.</t>
  </si>
  <si>
    <t>Scenario</t>
  </si>
  <si>
    <t>DS-TB: Health system cost</t>
  </si>
  <si>
    <t>DS-TB: Patient cost</t>
  </si>
  <si>
    <t>DR-TB: Health system cost</t>
  </si>
  <si>
    <t>DR-TB: Patient cost</t>
  </si>
  <si>
    <t>cost_healthsystem_DSTB</t>
  </si>
  <si>
    <t>cost_healthsystem_DRTB</t>
  </si>
  <si>
    <t>cost_patient_DRTB</t>
  </si>
  <si>
    <t>cost_patient_DSTB</t>
  </si>
  <si>
    <t>Global</t>
  </si>
  <si>
    <t>Patient cost derived as leftover from the DSTB-success total minus the NPY transfer minus health-system cost</t>
  </si>
  <si>
    <t>Patient cost derived as leftover from the DRTB-success total minus the NPY transfer minus health-system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</si>
</sst>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i/>
      <sz val="10"/>
      <color rgb="FF1F4E7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0" fillId="0" borderId="0" xfId="0" applyNumberFormat="1"/>
    <xf numFmtId="164" fontId="5" fillId="0" borderId="1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8" fillId="4" borderId="4" xfId="0" applyNumberFormat="1" applyFont="1" applyFill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9" fillId="0" borderId="0" xfId="0" applyNumberFormat="1" applyFont="1"/>
    <xf numFmtId="164" fontId="8" fillId="4" borderId="3" xfId="0" applyNumberFormat="1" applyFont="1" applyFill="1" applyBorder="1" applyAlignment="1">
      <alignment vertical="center"/>
    </xf>
    <xf numFmtId="0" fontId="10" fillId="0" borderId="0" xfId="0" applyFont="1"/>
    <xf numFmtId="164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1" fillId="0" borderId="0" xfId="0" applyFont="1"/>
    <xf numFmtId="0" fontId="13" fillId="0" borderId="0" xfId="0" applyFont="1"/>
    <xf numFmtId="0" fontId="12" fillId="0" borderId="0" xfId="0" applyFont="1" applyAlignment="1">
      <alignment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zoomScale="142" zoomScaleNormal="90" workbookViewId="0">
      <pane ySplit="1" topLeftCell="A63" activePane="bottomLeft" state="frozen"/>
      <selection pane="bottomLeft" activeCell="C82" sqref="C82"/>
    </sheetView>
  </sheetViews>
  <sheetFormatPr defaultColWidth="8.7109375" defaultRowHeight="15" x14ac:dyDescent="0.25"/>
  <cols>
    <col min="1" max="1" width="28" customWidth="1"/>
    <col min="2" max="2" width="60" bestFit="1" customWidth="1"/>
    <col min="3" max="3" width="13" style="13" customWidth="1"/>
    <col min="4" max="5" width="10" style="13" customWidth="1"/>
    <col min="6" max="6" width="14" style="13" customWidth="1"/>
    <col min="7" max="7" width="20" customWidth="1"/>
    <col min="8" max="8" width="189.28515625" bestFit="1" customWidth="1"/>
  </cols>
  <sheetData>
    <row r="1" spans="1:8" ht="27.75" customHeight="1" x14ac:dyDescent="0.25">
      <c r="A1" s="1" t="s">
        <v>0</v>
      </c>
      <c r="B1" s="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</row>
    <row r="2" spans="1:8" ht="19.5" customHeight="1" x14ac:dyDescent="0.25">
      <c r="A2" s="2" t="s">
        <v>8</v>
      </c>
      <c r="B2" s="3"/>
      <c r="C2" s="11"/>
      <c r="D2" s="11"/>
      <c r="E2" s="11"/>
      <c r="F2" s="11"/>
      <c r="G2" s="3"/>
      <c r="H2" s="3"/>
    </row>
    <row r="3" spans="1:8" ht="18" customHeight="1" x14ac:dyDescent="0.25">
      <c r="A3" s="4" t="s">
        <v>9</v>
      </c>
      <c r="B3" s="5"/>
      <c r="C3" s="12"/>
      <c r="D3" s="12"/>
      <c r="E3" s="12"/>
      <c r="F3" s="12"/>
      <c r="G3" s="5"/>
      <c r="H3" s="5"/>
    </row>
    <row r="4" spans="1:8" ht="15.75" customHeight="1" x14ac:dyDescent="0.25">
      <c r="A4" s="24" t="s">
        <v>10</v>
      </c>
      <c r="B4" s="7" t="s">
        <v>11</v>
      </c>
      <c r="C4" s="18">
        <v>0.1711</v>
      </c>
      <c r="D4" s="14">
        <v>0.13689999999999999</v>
      </c>
      <c r="E4" s="14">
        <v>0.20530000000000001</v>
      </c>
      <c r="F4" s="14" t="s">
        <v>12</v>
      </c>
      <c r="G4" s="8" t="s">
        <v>13</v>
      </c>
      <c r="H4" s="9" t="s">
        <v>14</v>
      </c>
    </row>
    <row r="5" spans="1:8" ht="15.75" customHeight="1" x14ac:dyDescent="0.25">
      <c r="A5" s="24" t="s">
        <v>15</v>
      </c>
      <c r="B5" s="7" t="s">
        <v>16</v>
      </c>
      <c r="C5" s="18">
        <v>0.62480000000000002</v>
      </c>
      <c r="D5" s="14">
        <v>0.49980000000000002</v>
      </c>
      <c r="E5" s="14">
        <v>0.74980000000000002</v>
      </c>
      <c r="F5" s="14" t="s">
        <v>12</v>
      </c>
      <c r="G5" s="8" t="s">
        <v>13</v>
      </c>
      <c r="H5" s="9" t="s">
        <v>17</v>
      </c>
    </row>
    <row r="6" spans="1:8" ht="15.75" customHeight="1" x14ac:dyDescent="0.25">
      <c r="A6" s="24" t="s">
        <v>18</v>
      </c>
      <c r="B6" s="7" t="s">
        <v>19</v>
      </c>
      <c r="C6" s="18">
        <v>0.2041</v>
      </c>
      <c r="D6" s="14">
        <v>0.1633</v>
      </c>
      <c r="E6" s="14">
        <v>0.24490000000000001</v>
      </c>
      <c r="F6" s="14" t="s">
        <v>12</v>
      </c>
      <c r="G6" s="8" t="s">
        <v>13</v>
      </c>
      <c r="H6" s="9" t="s">
        <v>20</v>
      </c>
    </row>
    <row r="7" spans="1:8" ht="15.75" customHeight="1" x14ac:dyDescent="0.25">
      <c r="A7" s="6" t="s">
        <v>21</v>
      </c>
      <c r="B7" s="7" t="s">
        <v>22</v>
      </c>
      <c r="C7" s="18">
        <v>0.8</v>
      </c>
      <c r="D7" s="14">
        <v>0.7</v>
      </c>
      <c r="E7" s="23">
        <v>0.9</v>
      </c>
      <c r="F7" s="14" t="s">
        <v>12</v>
      </c>
      <c r="G7" s="8" t="s">
        <v>23</v>
      </c>
      <c r="H7" s="9" t="s">
        <v>24</v>
      </c>
    </row>
    <row r="8" spans="1:8" ht="15.75" customHeight="1" x14ac:dyDescent="0.25">
      <c r="A8" s="6" t="s">
        <v>25</v>
      </c>
      <c r="B8" s="7" t="s">
        <v>26</v>
      </c>
      <c r="C8" s="18">
        <v>0.15</v>
      </c>
      <c r="D8" s="14">
        <v>0.13</v>
      </c>
      <c r="E8" s="14">
        <v>0.17</v>
      </c>
      <c r="F8" s="14" t="s">
        <v>12</v>
      </c>
      <c r="G8" s="8" t="s">
        <v>23</v>
      </c>
      <c r="H8" s="9" t="s">
        <v>27</v>
      </c>
    </row>
    <row r="9" spans="1:8" ht="15.75" customHeight="1" x14ac:dyDescent="0.25">
      <c r="A9" s="6" t="s">
        <v>28</v>
      </c>
      <c r="B9" s="7" t="s">
        <v>29</v>
      </c>
      <c r="C9" s="18">
        <v>0.05</v>
      </c>
      <c r="D9" s="14">
        <v>0.03</v>
      </c>
      <c r="E9" s="14">
        <v>0.08</v>
      </c>
      <c r="F9" s="14" t="s">
        <v>12</v>
      </c>
      <c r="G9" s="8" t="s">
        <v>23</v>
      </c>
      <c r="H9" s="9" t="s">
        <v>27</v>
      </c>
    </row>
    <row r="10" spans="1:8" ht="15.75" customHeight="1" x14ac:dyDescent="0.25">
      <c r="A10" s="6" t="s">
        <v>30</v>
      </c>
      <c r="B10" s="7" t="s">
        <v>31</v>
      </c>
      <c r="C10" s="18">
        <v>1</v>
      </c>
      <c r="D10" s="14">
        <v>0.99</v>
      </c>
      <c r="E10" s="14">
        <v>1</v>
      </c>
      <c r="F10" s="14" t="s">
        <v>32</v>
      </c>
      <c r="G10" s="8" t="s">
        <v>33</v>
      </c>
      <c r="H10" s="9" t="s">
        <v>34</v>
      </c>
    </row>
    <row r="11" spans="1:8" ht="15.75" customHeight="1" x14ac:dyDescent="0.25">
      <c r="A11" s="6" t="s">
        <v>35</v>
      </c>
      <c r="B11" s="7" t="s">
        <v>36</v>
      </c>
      <c r="C11" s="18">
        <v>0</v>
      </c>
      <c r="D11" s="14">
        <v>0</v>
      </c>
      <c r="E11" s="14">
        <v>0.01</v>
      </c>
      <c r="F11" s="14" t="s">
        <v>32</v>
      </c>
      <c r="G11" s="8" t="s">
        <v>33</v>
      </c>
      <c r="H11" s="9" t="s">
        <v>37</v>
      </c>
    </row>
    <row r="12" spans="1:8" ht="15.75" customHeight="1" x14ac:dyDescent="0.25">
      <c r="A12" s="6" t="s">
        <v>38</v>
      </c>
      <c r="B12" s="7" t="s">
        <v>39</v>
      </c>
      <c r="C12" s="18">
        <v>0</v>
      </c>
      <c r="D12" s="14">
        <v>0</v>
      </c>
      <c r="E12" s="14">
        <v>0.01</v>
      </c>
      <c r="F12" s="14" t="s">
        <v>32</v>
      </c>
      <c r="G12" s="8" t="s">
        <v>33</v>
      </c>
      <c r="H12" s="9" t="s">
        <v>37</v>
      </c>
    </row>
    <row r="13" spans="1:8" ht="18" customHeight="1" x14ac:dyDescent="0.25">
      <c r="A13" s="4" t="s">
        <v>40</v>
      </c>
      <c r="B13" s="5"/>
      <c r="C13" s="12"/>
      <c r="D13" s="12"/>
      <c r="E13" s="12"/>
      <c r="F13" s="12"/>
      <c r="G13" s="5"/>
      <c r="H13" s="5"/>
    </row>
    <row r="14" spans="1:8" ht="15.75" customHeight="1" x14ac:dyDescent="0.25">
      <c r="A14" s="6" t="s">
        <v>41</v>
      </c>
      <c r="B14" s="7" t="s">
        <v>42</v>
      </c>
      <c r="C14" s="18">
        <v>0.98480000000000001</v>
      </c>
      <c r="D14" s="14">
        <v>0.98419999999999996</v>
      </c>
      <c r="E14" s="14">
        <v>0.98550000000000004</v>
      </c>
      <c r="F14" s="14" t="s">
        <v>12</v>
      </c>
      <c r="G14" s="8" t="s">
        <v>43</v>
      </c>
      <c r="H14" s="9" t="s">
        <v>44</v>
      </c>
    </row>
    <row r="15" spans="1:8" ht="15.75" customHeight="1" x14ac:dyDescent="0.25">
      <c r="A15" s="6" t="s">
        <v>45</v>
      </c>
      <c r="B15" s="7" t="s">
        <v>46</v>
      </c>
      <c r="C15" s="18">
        <v>1.52E-2</v>
      </c>
      <c r="D15" s="14">
        <v>1.4500000000000001E-2</v>
      </c>
      <c r="E15" s="14">
        <v>1.5800000000000002E-2</v>
      </c>
      <c r="F15" s="14" t="s">
        <v>12</v>
      </c>
      <c r="G15" s="8" t="s">
        <v>43</v>
      </c>
      <c r="H15" s="9" t="s">
        <v>44</v>
      </c>
    </row>
    <row r="16" spans="1:8" ht="15.75" customHeight="1" x14ac:dyDescent="0.25">
      <c r="A16" s="6" t="s">
        <v>47</v>
      </c>
      <c r="B16" s="7" t="s">
        <v>48</v>
      </c>
      <c r="C16" s="18">
        <v>0.9708</v>
      </c>
      <c r="D16" s="14">
        <v>0.97030000000000005</v>
      </c>
      <c r="E16" s="14">
        <v>0.97130000000000005</v>
      </c>
      <c r="F16" s="14" t="s">
        <v>12</v>
      </c>
      <c r="G16" s="8" t="s">
        <v>49</v>
      </c>
      <c r="H16" s="9" t="s">
        <v>44</v>
      </c>
    </row>
    <row r="17" spans="1:8" ht="15.75" customHeight="1" x14ac:dyDescent="0.25">
      <c r="A17" s="6" t="s">
        <v>50</v>
      </c>
      <c r="B17" s="7" t="s">
        <v>51</v>
      </c>
      <c r="C17" s="18">
        <v>2.92E-2</v>
      </c>
      <c r="D17" s="14">
        <v>2.87E-2</v>
      </c>
      <c r="E17" s="14">
        <v>2.9700000000000001E-2</v>
      </c>
      <c r="F17" s="14" t="s">
        <v>12</v>
      </c>
      <c r="G17" s="8" t="s">
        <v>49</v>
      </c>
      <c r="H17" s="9" t="s">
        <v>44</v>
      </c>
    </row>
    <row r="18" spans="1:8" ht="15.75" customHeight="1" x14ac:dyDescent="0.25">
      <c r="A18" s="6" t="s">
        <v>52</v>
      </c>
      <c r="B18" s="7" t="s">
        <v>53</v>
      </c>
      <c r="C18" s="18">
        <v>0.98470000000000002</v>
      </c>
      <c r="D18" s="14">
        <v>0.98409999999999997</v>
      </c>
      <c r="E18" s="14">
        <v>0.98529999999999995</v>
      </c>
      <c r="F18" s="14" t="s">
        <v>12</v>
      </c>
      <c r="G18" s="8" t="s">
        <v>54</v>
      </c>
      <c r="H18" s="9" t="s">
        <v>44</v>
      </c>
    </row>
    <row r="19" spans="1:8" ht="15.75" customHeight="1" x14ac:dyDescent="0.25">
      <c r="A19" s="6" t="s">
        <v>55</v>
      </c>
      <c r="B19" s="7" t="s">
        <v>56</v>
      </c>
      <c r="C19" s="18">
        <v>1.5299999999999999E-2</v>
      </c>
      <c r="D19" s="14">
        <v>1.47E-2</v>
      </c>
      <c r="E19" s="14">
        <v>1.5900000000000001E-2</v>
      </c>
      <c r="F19" s="14" t="s">
        <v>12</v>
      </c>
      <c r="G19" s="8" t="s">
        <v>54</v>
      </c>
      <c r="H19" s="9" t="s">
        <v>44</v>
      </c>
    </row>
    <row r="20" spans="1:8" ht="18" customHeight="1" x14ac:dyDescent="0.25">
      <c r="A20" s="4" t="s">
        <v>57</v>
      </c>
      <c r="B20" s="5"/>
      <c r="C20" s="12"/>
      <c r="D20" s="12"/>
      <c r="E20" s="12"/>
      <c r="F20" s="12"/>
      <c r="G20" s="5"/>
      <c r="H20" s="5"/>
    </row>
    <row r="21" spans="1:8" ht="15.75" customHeight="1" x14ac:dyDescent="0.25">
      <c r="A21" s="6" t="s">
        <v>58</v>
      </c>
      <c r="B21" s="7" t="s">
        <v>59</v>
      </c>
      <c r="C21" s="18">
        <v>0.91469999999999996</v>
      </c>
      <c r="D21" s="14">
        <v>0.91310000000000002</v>
      </c>
      <c r="E21" s="14">
        <v>0.91620000000000001</v>
      </c>
      <c r="F21" s="14" t="s">
        <v>12</v>
      </c>
      <c r="G21" s="8" t="s">
        <v>60</v>
      </c>
      <c r="H21" s="9" t="s">
        <v>61</v>
      </c>
    </row>
    <row r="22" spans="1:8" ht="15.75" customHeight="1" x14ac:dyDescent="0.25">
      <c r="A22" s="6" t="s">
        <v>62</v>
      </c>
      <c r="B22" s="7" t="s">
        <v>63</v>
      </c>
      <c r="C22" s="18">
        <v>3.8100000000000002E-2</v>
      </c>
      <c r="D22" s="14">
        <v>3.6999999999999998E-2</v>
      </c>
      <c r="E22" s="14">
        <v>3.9E-2</v>
      </c>
      <c r="F22" s="14" t="s">
        <v>12</v>
      </c>
      <c r="G22" s="8" t="s">
        <v>60</v>
      </c>
      <c r="H22" s="9" t="s">
        <v>64</v>
      </c>
    </row>
    <row r="23" spans="1:8" ht="15.75" customHeight="1" x14ac:dyDescent="0.25">
      <c r="A23" s="6" t="s">
        <v>65</v>
      </c>
      <c r="B23" s="7" t="s">
        <v>66</v>
      </c>
      <c r="C23" s="18">
        <v>4.7199999999999999E-2</v>
      </c>
      <c r="D23" s="14">
        <v>4.6100000000000002E-2</v>
      </c>
      <c r="E23" s="14">
        <v>4.82E-2</v>
      </c>
      <c r="F23" s="14" t="s">
        <v>12</v>
      </c>
      <c r="G23" s="8" t="s">
        <v>60</v>
      </c>
      <c r="H23" s="9" t="s">
        <v>64</v>
      </c>
    </row>
    <row r="24" spans="1:8" ht="15.75" customHeight="1" x14ac:dyDescent="0.25">
      <c r="A24" s="6" t="s">
        <v>67</v>
      </c>
      <c r="B24" s="7" t="s">
        <v>68</v>
      </c>
      <c r="C24" s="18">
        <v>0.92430000000000001</v>
      </c>
      <c r="D24" s="14">
        <v>0.92349999999999999</v>
      </c>
      <c r="E24" s="14">
        <v>0.92500000000000004</v>
      </c>
      <c r="F24" s="14" t="s">
        <v>12</v>
      </c>
      <c r="G24" s="8" t="s">
        <v>69</v>
      </c>
      <c r="H24" s="9" t="s">
        <v>64</v>
      </c>
    </row>
    <row r="25" spans="1:8" ht="15.75" customHeight="1" x14ac:dyDescent="0.25">
      <c r="A25" s="6" t="s">
        <v>70</v>
      </c>
      <c r="B25" s="7" t="s">
        <v>71</v>
      </c>
      <c r="C25" s="18">
        <v>4.1300000000000003E-2</v>
      </c>
      <c r="D25" s="14">
        <v>4.07E-2</v>
      </c>
      <c r="E25" s="14">
        <v>4.1799999999999997E-2</v>
      </c>
      <c r="F25" s="14" t="s">
        <v>12</v>
      </c>
      <c r="G25" s="8" t="s">
        <v>69</v>
      </c>
      <c r="H25" s="9" t="s">
        <v>64</v>
      </c>
    </row>
    <row r="26" spans="1:8" ht="15.75" customHeight="1" x14ac:dyDescent="0.25">
      <c r="A26" s="6" t="s">
        <v>72</v>
      </c>
      <c r="B26" s="7" t="s">
        <v>73</v>
      </c>
      <c r="C26" s="18">
        <v>3.44E-2</v>
      </c>
      <c r="D26" s="14">
        <v>3.39E-2</v>
      </c>
      <c r="E26" s="14">
        <v>3.5000000000000003E-2</v>
      </c>
      <c r="F26" s="14" t="s">
        <v>12</v>
      </c>
      <c r="G26" s="8" t="s">
        <v>69</v>
      </c>
      <c r="H26" s="9" t="s">
        <v>64</v>
      </c>
    </row>
    <row r="27" spans="1:8" ht="15.75" customHeight="1" x14ac:dyDescent="0.25">
      <c r="A27" s="6" t="s">
        <v>74</v>
      </c>
      <c r="B27" s="7" t="s">
        <v>75</v>
      </c>
      <c r="C27" s="18">
        <v>0.74050000000000005</v>
      </c>
      <c r="D27" s="14">
        <v>0.73809999999999998</v>
      </c>
      <c r="E27" s="14">
        <v>0.7429</v>
      </c>
      <c r="F27" s="14" t="s">
        <v>12</v>
      </c>
      <c r="G27" s="8" t="s">
        <v>76</v>
      </c>
      <c r="H27" s="9" t="s">
        <v>64</v>
      </c>
    </row>
    <row r="28" spans="1:8" ht="15.75" customHeight="1" x14ac:dyDescent="0.25">
      <c r="A28" s="6" t="s">
        <v>77</v>
      </c>
      <c r="B28" s="7" t="s">
        <v>78</v>
      </c>
      <c r="C28" s="18">
        <v>0.1636</v>
      </c>
      <c r="D28" s="14">
        <v>0.16159999999999999</v>
      </c>
      <c r="E28" s="14">
        <v>0.1656</v>
      </c>
      <c r="F28" s="14" t="s">
        <v>12</v>
      </c>
      <c r="G28" s="8" t="s">
        <v>76</v>
      </c>
      <c r="H28" s="9" t="s">
        <v>64</v>
      </c>
    </row>
    <row r="29" spans="1:8" ht="15.75" customHeight="1" x14ac:dyDescent="0.25">
      <c r="A29" s="6" t="s">
        <v>79</v>
      </c>
      <c r="B29" s="7" t="s">
        <v>80</v>
      </c>
      <c r="C29" s="18">
        <v>9.5899999999999999E-2</v>
      </c>
      <c r="D29" s="14">
        <v>9.4299999999999995E-2</v>
      </c>
      <c r="E29" s="14">
        <v>9.7500000000000003E-2</v>
      </c>
      <c r="F29" s="14" t="s">
        <v>12</v>
      </c>
      <c r="G29" s="8" t="s">
        <v>76</v>
      </c>
      <c r="H29" s="9" t="s">
        <v>64</v>
      </c>
    </row>
    <row r="30" spans="1:8" ht="18" customHeight="1" x14ac:dyDescent="0.25">
      <c r="A30" s="4" t="s">
        <v>81</v>
      </c>
      <c r="B30" s="5"/>
      <c r="C30" s="12"/>
      <c r="D30" s="12"/>
      <c r="E30" s="12"/>
      <c r="F30" s="12"/>
      <c r="G30" s="5"/>
      <c r="H30" s="5"/>
    </row>
    <row r="31" spans="1:8" ht="15.75" customHeight="1" x14ac:dyDescent="0.25">
      <c r="A31" s="6" t="s">
        <v>82</v>
      </c>
      <c r="B31" s="7" t="s">
        <v>83</v>
      </c>
      <c r="C31" s="18">
        <v>0.67</v>
      </c>
      <c r="D31" s="15">
        <v>0.64610000000000001</v>
      </c>
      <c r="E31" s="15">
        <v>0.69030000000000002</v>
      </c>
      <c r="F31" s="14" t="s">
        <v>12</v>
      </c>
      <c r="G31" s="8" t="s">
        <v>84</v>
      </c>
      <c r="H31" s="9" t="s">
        <v>64</v>
      </c>
    </row>
    <row r="32" spans="1:8" ht="15.75" customHeight="1" x14ac:dyDescent="0.25">
      <c r="A32" s="6" t="s">
        <v>85</v>
      </c>
      <c r="B32" s="7" t="s">
        <v>86</v>
      </c>
      <c r="C32" s="19">
        <v>0.22</v>
      </c>
      <c r="D32" s="16">
        <v>0.20039999999999999</v>
      </c>
      <c r="E32" s="16">
        <v>0.23930000000000001</v>
      </c>
      <c r="F32" s="14" t="s">
        <v>12</v>
      </c>
      <c r="G32" s="8" t="s">
        <v>84</v>
      </c>
      <c r="H32" s="9" t="s">
        <v>64</v>
      </c>
    </row>
    <row r="33" spans="1:10" ht="15.75" customHeight="1" x14ac:dyDescent="0.25">
      <c r="A33" s="6" t="s">
        <v>87</v>
      </c>
      <c r="B33" s="7" t="s">
        <v>88</v>
      </c>
      <c r="C33" s="19">
        <v>0.11</v>
      </c>
      <c r="D33" s="16">
        <v>9.8199999999999996E-2</v>
      </c>
      <c r="E33" s="16">
        <v>0.12790000000000001</v>
      </c>
      <c r="F33" s="14" t="s">
        <v>12</v>
      </c>
      <c r="G33" s="8" t="s">
        <v>84</v>
      </c>
      <c r="H33" s="9" t="s">
        <v>64</v>
      </c>
    </row>
    <row r="34" spans="1:10" ht="15.75" customHeight="1" x14ac:dyDescent="0.25">
      <c r="A34" s="6" t="s">
        <v>89</v>
      </c>
      <c r="B34" s="7" t="s">
        <v>90</v>
      </c>
      <c r="C34" s="19">
        <v>0.68</v>
      </c>
      <c r="D34" s="16">
        <v>0.67589999999999995</v>
      </c>
      <c r="E34" s="16">
        <v>0.69289999999999996</v>
      </c>
      <c r="F34" s="14" t="s">
        <v>12</v>
      </c>
      <c r="G34" s="8" t="s">
        <v>91</v>
      </c>
      <c r="H34" s="9" t="s">
        <v>64</v>
      </c>
    </row>
    <row r="35" spans="1:10" ht="15.75" customHeight="1" x14ac:dyDescent="0.25">
      <c r="A35" s="6" t="s">
        <v>92</v>
      </c>
      <c r="B35" s="7" t="s">
        <v>93</v>
      </c>
      <c r="C35" s="19">
        <v>0.21</v>
      </c>
      <c r="D35" s="16">
        <v>0.19969999999999999</v>
      </c>
      <c r="E35" s="16">
        <v>0.2145</v>
      </c>
      <c r="F35" s="14" t="s">
        <v>12</v>
      </c>
      <c r="G35" s="8" t="s">
        <v>91</v>
      </c>
      <c r="H35" s="9" t="s">
        <v>64</v>
      </c>
    </row>
    <row r="36" spans="1:10" ht="15.75" customHeight="1" x14ac:dyDescent="0.25">
      <c r="A36" s="6" t="s">
        <v>94</v>
      </c>
      <c r="B36" s="7" t="s">
        <v>95</v>
      </c>
      <c r="C36" s="19">
        <v>0.11</v>
      </c>
      <c r="D36" s="16">
        <v>0.10299999999999999</v>
      </c>
      <c r="E36" s="16">
        <v>0.1143</v>
      </c>
      <c r="F36" s="14" t="s">
        <v>12</v>
      </c>
      <c r="G36" s="8" t="s">
        <v>91</v>
      </c>
      <c r="H36" s="9" t="s">
        <v>64</v>
      </c>
    </row>
    <row r="37" spans="1:10" ht="15.75" customHeight="1" x14ac:dyDescent="0.25">
      <c r="A37" s="6" t="s">
        <v>96</v>
      </c>
      <c r="B37" s="7" t="s">
        <v>97</v>
      </c>
      <c r="C37" s="19">
        <v>0.43</v>
      </c>
      <c r="D37" s="16">
        <v>0.4098</v>
      </c>
      <c r="E37" s="16">
        <v>0.45340000000000003</v>
      </c>
      <c r="F37" s="14" t="s">
        <v>12</v>
      </c>
      <c r="G37" s="8" t="s">
        <v>98</v>
      </c>
      <c r="H37" s="9" t="s">
        <v>64</v>
      </c>
    </row>
    <row r="38" spans="1:10" ht="15.75" customHeight="1" x14ac:dyDescent="0.25">
      <c r="A38" s="6" t="s">
        <v>99</v>
      </c>
      <c r="B38" s="7" t="s">
        <v>100</v>
      </c>
      <c r="C38" s="19">
        <v>0.36</v>
      </c>
      <c r="D38" s="16">
        <v>0.33650000000000002</v>
      </c>
      <c r="E38" s="16">
        <v>0.37869999999999998</v>
      </c>
      <c r="F38" s="14" t="s">
        <v>12</v>
      </c>
      <c r="G38" s="8" t="s">
        <v>98</v>
      </c>
      <c r="H38" s="9" t="s">
        <v>64</v>
      </c>
    </row>
    <row r="39" spans="1:10" ht="15.75" customHeight="1" x14ac:dyDescent="0.25">
      <c r="A39" s="6" t="s">
        <v>101</v>
      </c>
      <c r="B39" s="7" t="s">
        <v>102</v>
      </c>
      <c r="C39" s="19">
        <v>0.21</v>
      </c>
      <c r="D39" s="16">
        <v>0.1938</v>
      </c>
      <c r="E39" s="16">
        <v>0.22969999999999999</v>
      </c>
      <c r="F39" s="14" t="s">
        <v>12</v>
      </c>
      <c r="G39" s="8" t="s">
        <v>98</v>
      </c>
      <c r="H39" s="9" t="s">
        <v>64</v>
      </c>
    </row>
    <row r="40" spans="1:10" ht="19.5" customHeight="1" x14ac:dyDescent="0.25">
      <c r="A40" s="2" t="s">
        <v>103</v>
      </c>
      <c r="B40" s="3"/>
      <c r="C40" s="11"/>
      <c r="D40" s="11"/>
      <c r="E40" s="11"/>
      <c r="F40" s="11"/>
      <c r="G40" s="3"/>
      <c r="H40" s="3"/>
    </row>
    <row r="41" spans="1:10" ht="18" customHeight="1" x14ac:dyDescent="0.25">
      <c r="A41" s="4" t="s">
        <v>104</v>
      </c>
      <c r="B41" s="5"/>
      <c r="C41" s="12"/>
      <c r="D41" s="12"/>
      <c r="E41" s="12"/>
      <c r="F41" s="12"/>
      <c r="G41" s="5"/>
      <c r="H41" s="5"/>
    </row>
    <row r="42" spans="1:10" ht="15.75" customHeight="1" x14ac:dyDescent="0.25">
      <c r="A42" s="6" t="s">
        <v>105</v>
      </c>
      <c r="B42" s="7" t="s">
        <v>106</v>
      </c>
      <c r="C42" s="18">
        <v>0.93</v>
      </c>
      <c r="D42" s="14">
        <v>0.82800000000000007</v>
      </c>
      <c r="E42" s="14">
        <v>0.99</v>
      </c>
      <c r="F42" s="14" t="s">
        <v>107</v>
      </c>
      <c r="G42" s="8"/>
      <c r="H42" s="9" t="s">
        <v>108</v>
      </c>
      <c r="I42" s="13"/>
      <c r="J42" s="13"/>
    </row>
    <row r="43" spans="1:10" ht="15.75" customHeight="1" x14ac:dyDescent="0.25">
      <c r="A43" s="6" t="s">
        <v>109</v>
      </c>
      <c r="B43" s="7" t="s">
        <v>110</v>
      </c>
      <c r="C43" s="18">
        <v>0.51</v>
      </c>
      <c r="D43" s="14">
        <v>0.45900000000000002</v>
      </c>
      <c r="E43" s="14">
        <v>0.56100000000000005</v>
      </c>
      <c r="F43" s="14" t="s">
        <v>107</v>
      </c>
      <c r="G43" s="8"/>
      <c r="H43" s="9" t="s">
        <v>111</v>
      </c>
      <c r="I43" s="13"/>
      <c r="J43" s="13"/>
    </row>
    <row r="44" spans="1:10" ht="15.75" customHeight="1" x14ac:dyDescent="0.25">
      <c r="A44" s="6" t="s">
        <v>112</v>
      </c>
      <c r="B44" s="7" t="s">
        <v>113</v>
      </c>
      <c r="C44" s="18">
        <v>0.51</v>
      </c>
      <c r="D44" s="14">
        <v>0.45900000000000002</v>
      </c>
      <c r="E44" s="14">
        <v>0.56100000000000005</v>
      </c>
      <c r="F44" s="14" t="s">
        <v>107</v>
      </c>
      <c r="G44" s="8"/>
      <c r="H44" s="9" t="s">
        <v>114</v>
      </c>
      <c r="I44" s="13"/>
      <c r="J44" s="13"/>
    </row>
    <row r="45" spans="1:10" ht="15.75" customHeight="1" x14ac:dyDescent="0.25">
      <c r="A45" s="6" t="s">
        <v>115</v>
      </c>
      <c r="B45" s="7" t="s">
        <v>116</v>
      </c>
      <c r="C45" s="18">
        <v>0.91</v>
      </c>
      <c r="D45" s="14">
        <v>0.82800000000000007</v>
      </c>
      <c r="E45" s="14">
        <v>0.93499999999999994</v>
      </c>
      <c r="F45" s="14" t="s">
        <v>107</v>
      </c>
      <c r="G45" s="8"/>
      <c r="H45" s="9"/>
      <c r="I45" s="13"/>
      <c r="J45" s="13"/>
    </row>
    <row r="46" spans="1:10" ht="18" customHeight="1" x14ac:dyDescent="0.25">
      <c r="A46" s="4" t="s">
        <v>117</v>
      </c>
      <c r="B46" s="5"/>
      <c r="C46" s="12"/>
      <c r="D46" s="12"/>
      <c r="E46" s="12"/>
      <c r="F46" s="12"/>
      <c r="G46" s="5"/>
      <c r="H46" s="5"/>
    </row>
    <row r="47" spans="1:10" ht="15.75" customHeight="1" x14ac:dyDescent="0.25">
      <c r="A47" s="6" t="s">
        <v>118</v>
      </c>
      <c r="B47" s="7" t="s">
        <v>119</v>
      </c>
      <c r="C47" s="18">
        <v>0</v>
      </c>
      <c r="D47" s="14">
        <v>0</v>
      </c>
      <c r="E47" s="14">
        <v>0</v>
      </c>
      <c r="F47" s="14" t="s">
        <v>32</v>
      </c>
      <c r="G47" s="8"/>
      <c r="H47" s="9" t="s">
        <v>120</v>
      </c>
    </row>
    <row r="48" spans="1:10" ht="18" customHeight="1" x14ac:dyDescent="0.25">
      <c r="A48" s="4" t="s">
        <v>121</v>
      </c>
      <c r="B48" s="5"/>
      <c r="C48" s="12"/>
      <c r="D48" s="12"/>
      <c r="E48" s="12"/>
      <c r="F48" s="12"/>
      <c r="G48" s="5"/>
      <c r="H48" s="5"/>
    </row>
    <row r="49" spans="1:8" ht="19.5" customHeight="1" x14ac:dyDescent="0.25">
      <c r="A49" s="2" t="s">
        <v>122</v>
      </c>
      <c r="B49" s="3"/>
      <c r="C49" s="11"/>
      <c r="D49" s="11"/>
      <c r="E49" s="11"/>
      <c r="F49" s="11"/>
      <c r="G49" s="3"/>
      <c r="H49" s="3"/>
    </row>
    <row r="50" spans="1:8" ht="18" customHeight="1" x14ac:dyDescent="0.25">
      <c r="A50" s="4" t="s">
        <v>123</v>
      </c>
      <c r="B50" s="5"/>
      <c r="C50" s="12"/>
      <c r="D50" s="12"/>
      <c r="E50" s="12"/>
      <c r="F50" s="12"/>
      <c r="G50" s="5"/>
      <c r="H50" s="5"/>
    </row>
    <row r="51" spans="1:8" ht="15.75" customHeight="1" x14ac:dyDescent="0.25">
      <c r="A51" s="6" t="s">
        <v>124</v>
      </c>
      <c r="B51" s="7" t="s">
        <v>59</v>
      </c>
      <c r="C51" s="20">
        <v>593.04999999999995</v>
      </c>
      <c r="D51">
        <v>474.44</v>
      </c>
      <c r="E51">
        <v>711.66</v>
      </c>
      <c r="F51" s="14" t="s">
        <v>125</v>
      </c>
      <c r="G51" s="8" t="s">
        <v>126</v>
      </c>
      <c r="H51" s="9" t="s">
        <v>127</v>
      </c>
    </row>
    <row r="52" spans="1:8" ht="15.75" customHeight="1" x14ac:dyDescent="0.25">
      <c r="A52" s="6" t="s">
        <v>128</v>
      </c>
      <c r="B52" s="7" t="s">
        <v>63</v>
      </c>
      <c r="C52" s="20">
        <v>752.23</v>
      </c>
      <c r="D52">
        <v>601.78</v>
      </c>
      <c r="E52">
        <v>902.67</v>
      </c>
      <c r="F52" s="14" t="s">
        <v>125</v>
      </c>
      <c r="G52" s="8" t="s">
        <v>126</v>
      </c>
      <c r="H52" s="9"/>
    </row>
    <row r="53" spans="1:8" ht="15.75" customHeight="1" x14ac:dyDescent="0.25">
      <c r="A53" s="6" t="s">
        <v>129</v>
      </c>
      <c r="B53" s="7" t="s">
        <v>130</v>
      </c>
      <c r="C53" s="20">
        <v>615.79999999999995</v>
      </c>
      <c r="D53">
        <v>492.64</v>
      </c>
      <c r="E53">
        <v>738.96</v>
      </c>
      <c r="F53" s="14" t="s">
        <v>125</v>
      </c>
      <c r="G53" s="8" t="s">
        <v>126</v>
      </c>
      <c r="H53" s="9"/>
    </row>
    <row r="54" spans="1:8" ht="15.75" customHeight="1" x14ac:dyDescent="0.25">
      <c r="A54" s="6" t="s">
        <v>131</v>
      </c>
      <c r="B54" s="7" t="s">
        <v>83</v>
      </c>
      <c r="C54" s="19">
        <v>1096.06</v>
      </c>
      <c r="D54">
        <v>876.85</v>
      </c>
      <c r="E54">
        <v>1315.27</v>
      </c>
      <c r="F54" s="14" t="s">
        <v>125</v>
      </c>
      <c r="G54" s="8" t="s">
        <v>126</v>
      </c>
      <c r="H54" s="9"/>
    </row>
    <row r="55" spans="1:8" ht="15.75" customHeight="1" x14ac:dyDescent="0.25">
      <c r="A55" s="6" t="s">
        <v>132</v>
      </c>
      <c r="B55" s="7" t="s">
        <v>86</v>
      </c>
      <c r="C55" s="19">
        <v>1271.32</v>
      </c>
      <c r="D55">
        <v>1017.05</v>
      </c>
      <c r="E55">
        <v>1525.58</v>
      </c>
      <c r="F55" s="14" t="s">
        <v>125</v>
      </c>
      <c r="G55" s="8" t="s">
        <v>126</v>
      </c>
      <c r="H55" s="9"/>
    </row>
    <row r="56" spans="1:8" ht="15.75" customHeight="1" x14ac:dyDescent="0.25">
      <c r="A56" s="6" t="s">
        <v>133</v>
      </c>
      <c r="B56" s="7" t="s">
        <v>134</v>
      </c>
      <c r="C56" s="19">
        <v>1039.52</v>
      </c>
      <c r="D56">
        <v>831.62</v>
      </c>
      <c r="E56">
        <v>1247.43</v>
      </c>
      <c r="F56" s="14" t="s">
        <v>125</v>
      </c>
      <c r="G56" s="8" t="s">
        <v>126</v>
      </c>
      <c r="H56" s="9"/>
    </row>
    <row r="57" spans="1:8" ht="18" customHeight="1" x14ac:dyDescent="0.25">
      <c r="A57" s="4" t="s">
        <v>135</v>
      </c>
      <c r="B57" s="5"/>
      <c r="C57" s="21"/>
      <c r="D57" s="17"/>
      <c r="E57" s="17"/>
      <c r="F57" s="12"/>
      <c r="G57" s="5"/>
      <c r="H57" s="5"/>
    </row>
    <row r="58" spans="1:8" ht="15.75" customHeight="1" x14ac:dyDescent="0.25">
      <c r="A58" s="6" t="s">
        <v>136</v>
      </c>
      <c r="B58" s="7" t="s">
        <v>68</v>
      </c>
      <c r="C58" s="20">
        <v>582.98</v>
      </c>
      <c r="D58">
        <v>466.38</v>
      </c>
      <c r="E58">
        <v>699.57</v>
      </c>
      <c r="F58" s="14" t="s">
        <v>125</v>
      </c>
      <c r="G58" s="8" t="s">
        <v>126</v>
      </c>
      <c r="H58" s="9"/>
    </row>
    <row r="59" spans="1:8" ht="15.75" customHeight="1" x14ac:dyDescent="0.25">
      <c r="A59" s="6" t="s">
        <v>137</v>
      </c>
      <c r="B59" s="7" t="s">
        <v>71</v>
      </c>
      <c r="C59" s="20">
        <v>618.97</v>
      </c>
      <c r="D59">
        <v>495.17</v>
      </c>
      <c r="E59">
        <v>742.76</v>
      </c>
      <c r="F59" s="14" t="s">
        <v>125</v>
      </c>
      <c r="G59" s="8" t="s">
        <v>126</v>
      </c>
      <c r="H59" s="9"/>
    </row>
    <row r="60" spans="1:8" ht="15.75" customHeight="1" x14ac:dyDescent="0.25">
      <c r="A60" s="6" t="s">
        <v>138</v>
      </c>
      <c r="B60" s="7" t="s">
        <v>139</v>
      </c>
      <c r="C60" s="20">
        <v>535.11</v>
      </c>
      <c r="D60">
        <v>428.09</v>
      </c>
      <c r="E60">
        <v>642.14</v>
      </c>
      <c r="F60" s="14" t="s">
        <v>125</v>
      </c>
      <c r="G60" s="8" t="s">
        <v>126</v>
      </c>
      <c r="H60" s="9"/>
    </row>
    <row r="61" spans="1:8" ht="15.75" customHeight="1" x14ac:dyDescent="0.25">
      <c r="A61" s="6" t="s">
        <v>140</v>
      </c>
      <c r="B61" s="7" t="s">
        <v>90</v>
      </c>
      <c r="C61" s="19">
        <v>1081.21</v>
      </c>
      <c r="D61">
        <v>864.97</v>
      </c>
      <c r="E61">
        <v>1297.45</v>
      </c>
      <c r="F61" s="14" t="s">
        <v>125</v>
      </c>
      <c r="G61" s="8" t="s">
        <v>126</v>
      </c>
      <c r="H61" s="9"/>
    </row>
    <row r="62" spans="1:8" ht="15.75" customHeight="1" x14ac:dyDescent="0.25">
      <c r="A62" s="6" t="s">
        <v>141</v>
      </c>
      <c r="B62" s="7" t="s">
        <v>93</v>
      </c>
      <c r="C62" s="19">
        <v>1253.98</v>
      </c>
      <c r="D62">
        <v>1003.18</v>
      </c>
      <c r="E62">
        <v>1504.77</v>
      </c>
      <c r="F62" s="14" t="s">
        <v>125</v>
      </c>
      <c r="G62" s="8" t="s">
        <v>126</v>
      </c>
      <c r="H62" s="9"/>
    </row>
    <row r="63" spans="1:8" ht="15.75" customHeight="1" x14ac:dyDescent="0.25">
      <c r="A63" s="6" t="s">
        <v>142</v>
      </c>
      <c r="B63" s="7" t="s">
        <v>143</v>
      </c>
      <c r="C63" s="19">
        <v>1025</v>
      </c>
      <c r="D63">
        <v>820</v>
      </c>
      <c r="E63">
        <v>1230</v>
      </c>
      <c r="F63" s="14" t="s">
        <v>125</v>
      </c>
      <c r="G63" s="8" t="s">
        <v>126</v>
      </c>
      <c r="H63" s="9"/>
    </row>
    <row r="64" spans="1:8" ht="18" customHeight="1" x14ac:dyDescent="0.25">
      <c r="A64" s="4" t="s">
        <v>144</v>
      </c>
      <c r="B64" s="5"/>
      <c r="C64" s="21"/>
      <c r="D64" s="17"/>
      <c r="E64" s="17"/>
      <c r="F64" s="12"/>
      <c r="G64" s="5"/>
      <c r="H64" s="5"/>
    </row>
    <row r="65" spans="1:8" ht="15.75" customHeight="1" x14ac:dyDescent="0.25">
      <c r="A65" s="6" t="s">
        <v>145</v>
      </c>
      <c r="B65" s="7" t="s">
        <v>75</v>
      </c>
      <c r="C65" s="20">
        <v>609.49</v>
      </c>
      <c r="D65" s="22">
        <v>487.59</v>
      </c>
      <c r="E65" s="22">
        <v>731.38</v>
      </c>
      <c r="F65" s="14" t="s">
        <v>125</v>
      </c>
      <c r="G65" s="8" t="s">
        <v>126</v>
      </c>
      <c r="H65" s="9"/>
    </row>
    <row r="66" spans="1:8" ht="15.75" customHeight="1" x14ac:dyDescent="0.25">
      <c r="A66" s="6" t="s">
        <v>146</v>
      </c>
      <c r="B66" s="7" t="s">
        <v>78</v>
      </c>
      <c r="C66" s="20">
        <v>565.4</v>
      </c>
      <c r="D66" s="22">
        <v>452.32</v>
      </c>
      <c r="E66" s="22">
        <v>678.48</v>
      </c>
      <c r="F66" s="14" t="s">
        <v>125</v>
      </c>
      <c r="G66" s="8" t="s">
        <v>126</v>
      </c>
      <c r="H66" s="9"/>
    </row>
    <row r="67" spans="1:8" ht="15.75" customHeight="1" x14ac:dyDescent="0.25">
      <c r="A67" s="6" t="s">
        <v>147</v>
      </c>
      <c r="B67" s="7" t="s">
        <v>148</v>
      </c>
      <c r="C67" s="20">
        <v>309.97000000000003</v>
      </c>
      <c r="D67" s="22">
        <v>247.97</v>
      </c>
      <c r="E67" s="22">
        <v>371.96</v>
      </c>
      <c r="F67" s="14" t="s">
        <v>125</v>
      </c>
      <c r="G67" s="8" t="s">
        <v>126</v>
      </c>
      <c r="H67" s="9"/>
    </row>
    <row r="68" spans="1:8" ht="15.75" customHeight="1" x14ac:dyDescent="0.25">
      <c r="A68" s="6" t="s">
        <v>149</v>
      </c>
      <c r="B68" s="7" t="s">
        <v>97</v>
      </c>
      <c r="C68" s="19">
        <v>1339.67</v>
      </c>
      <c r="D68">
        <v>1071.73</v>
      </c>
      <c r="E68">
        <v>1607.6</v>
      </c>
      <c r="F68" s="14" t="s">
        <v>125</v>
      </c>
      <c r="G68" s="8" t="s">
        <v>126</v>
      </c>
      <c r="H68" s="9"/>
    </row>
    <row r="69" spans="1:8" ht="15.75" customHeight="1" x14ac:dyDescent="0.25">
      <c r="A69" s="6" t="s">
        <v>150</v>
      </c>
      <c r="B69" s="7" t="s">
        <v>100</v>
      </c>
      <c r="C69" s="19">
        <v>1590.44</v>
      </c>
      <c r="D69">
        <v>1272.3599999999999</v>
      </c>
      <c r="E69">
        <v>1908.53</v>
      </c>
      <c r="F69" s="14" t="s">
        <v>125</v>
      </c>
      <c r="G69" s="8" t="s">
        <v>126</v>
      </c>
      <c r="H69" s="9"/>
    </row>
    <row r="70" spans="1:8" ht="15.75" customHeight="1" x14ac:dyDescent="0.25">
      <c r="A70" s="6" t="s">
        <v>151</v>
      </c>
      <c r="B70" s="7" t="s">
        <v>152</v>
      </c>
      <c r="C70" s="19">
        <v>1258.77</v>
      </c>
      <c r="D70">
        <v>1007.02</v>
      </c>
      <c r="E70">
        <v>1510.52</v>
      </c>
      <c r="F70" s="14" t="s">
        <v>125</v>
      </c>
      <c r="G70" s="8" t="s">
        <v>126</v>
      </c>
      <c r="H70" s="9"/>
    </row>
    <row r="71" spans="1:8" ht="18" customHeight="1" x14ac:dyDescent="0.25">
      <c r="A71" s="4" t="s">
        <v>187</v>
      </c>
      <c r="B71" s="5"/>
      <c r="C71" s="21"/>
      <c r="D71" s="17"/>
      <c r="E71" s="17"/>
      <c r="F71" s="12"/>
      <c r="G71" s="5"/>
      <c r="H71" s="5"/>
    </row>
    <row r="72" spans="1:8" x14ac:dyDescent="0.25">
      <c r="A72" s="6" t="s">
        <v>192</v>
      </c>
      <c r="B72" s="7" t="s">
        <v>188</v>
      </c>
      <c r="C72" s="13">
        <v>209.4</v>
      </c>
      <c r="F72" s="14" t="s">
        <v>125</v>
      </c>
      <c r="G72" s="8" t="s">
        <v>126</v>
      </c>
      <c r="H72" s="28"/>
    </row>
    <row r="73" spans="1:8" x14ac:dyDescent="0.25">
      <c r="A73" s="6" t="s">
        <v>195</v>
      </c>
      <c r="B73" s="7" t="s">
        <v>189</v>
      </c>
      <c r="C73" s="13">
        <f>Parameter!C51-'NPY transfer'!D7-C72</f>
        <v>318.85518358531317</v>
      </c>
      <c r="F73" s="14" t="s">
        <v>125</v>
      </c>
      <c r="G73" s="8" t="s">
        <v>126</v>
      </c>
      <c r="H73" s="28" t="s">
        <v>197</v>
      </c>
    </row>
    <row r="74" spans="1:8" x14ac:dyDescent="0.25">
      <c r="A74" s="6" t="s">
        <v>193</v>
      </c>
      <c r="B74" s="7" t="s">
        <v>190</v>
      </c>
      <c r="C74" s="13">
        <v>530.70000000000005</v>
      </c>
      <c r="F74" s="14" t="s">
        <v>125</v>
      </c>
      <c r="G74" s="8" t="s">
        <v>126</v>
      </c>
    </row>
    <row r="75" spans="1:8" x14ac:dyDescent="0.25">
      <c r="A75" s="6" t="s">
        <v>194</v>
      </c>
      <c r="B75" s="7" t="s">
        <v>191</v>
      </c>
      <c r="C75" s="13">
        <f>Parameter!C54-'NPY transfer'!D8-C74</f>
        <v>435.77036717062583</v>
      </c>
      <c r="F75" s="14" t="s">
        <v>125</v>
      </c>
      <c r="G75" s="8" t="s">
        <v>126</v>
      </c>
      <c r="H75" s="28" t="s">
        <v>198</v>
      </c>
    </row>
    <row r="76" spans="1:8" ht="18" customHeight="1" x14ac:dyDescent="0.25">
      <c r="A76" s="4" t="s">
        <v>196</v>
      </c>
      <c r="B76" s="5"/>
      <c r="C76" s="21"/>
      <c r="D76" s="17"/>
      <c r="E76" s="17"/>
      <c r="F76" s="12"/>
      <c r="G76" s="5"/>
      <c r="H76" s="5"/>
    </row>
    <row r="77" spans="1:8" x14ac:dyDescent="0.25">
      <c r="A77" t="s">
        <v>153</v>
      </c>
    </row>
    <row r="78" spans="1:8" x14ac:dyDescent="0.25">
      <c r="A78" t="s">
        <v>154</v>
      </c>
      <c r="B78" t="s">
        <v>155</v>
      </c>
      <c r="C78">
        <v>100000</v>
      </c>
      <c r="F78" t="s">
        <v>32</v>
      </c>
      <c r="H78" t="s">
        <v>156</v>
      </c>
    </row>
    <row r="79" spans="1:8" x14ac:dyDescent="0.25">
      <c r="A79" t="s">
        <v>157</v>
      </c>
      <c r="B79" t="s">
        <v>158</v>
      </c>
      <c r="C79">
        <v>2536</v>
      </c>
      <c r="F79" t="s">
        <v>32</v>
      </c>
      <c r="H79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I12" sqref="I12"/>
    </sheetView>
  </sheetViews>
  <sheetFormatPr defaultRowHeight="15" x14ac:dyDescent="0.25"/>
  <cols>
    <col min="1" max="1" width="24.7109375" customWidth="1"/>
    <col min="2" max="2" width="55.7109375" customWidth="1"/>
    <col min="3" max="3" width="17.42578125" bestFit="1" customWidth="1"/>
    <col min="4" max="4" width="12.7109375" customWidth="1"/>
    <col min="5" max="5" width="10.7109375" customWidth="1"/>
    <col min="8" max="8" width="22.7109375" customWidth="1"/>
    <col min="9" max="9" width="70.7109375" customWidth="1"/>
  </cols>
  <sheetData>
    <row r="1" spans="1:9" x14ac:dyDescent="0.25">
      <c r="A1" s="26" t="s">
        <v>160</v>
      </c>
      <c r="B1" s="26" t="s">
        <v>1</v>
      </c>
      <c r="C1" s="26" t="s">
        <v>161</v>
      </c>
      <c r="D1" s="26" t="s">
        <v>2</v>
      </c>
      <c r="E1" s="26" t="s">
        <v>3</v>
      </c>
      <c r="F1" s="26" t="s">
        <v>4</v>
      </c>
      <c r="G1" s="26" t="s">
        <v>162</v>
      </c>
      <c r="H1" s="26" t="s">
        <v>163</v>
      </c>
      <c r="I1" s="26" t="s">
        <v>7</v>
      </c>
    </row>
    <row r="2" spans="1:9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9" x14ac:dyDescent="0.25">
      <c r="A3" t="s">
        <v>164</v>
      </c>
      <c r="B3" t="s">
        <v>165</v>
      </c>
      <c r="D3">
        <v>1</v>
      </c>
      <c r="G3" t="s">
        <v>166</v>
      </c>
      <c r="H3" t="s">
        <v>167</v>
      </c>
      <c r="I3" t="s">
        <v>168</v>
      </c>
    </row>
    <row r="4" spans="1:9" x14ac:dyDescent="0.25">
      <c r="A4" t="s">
        <v>169</v>
      </c>
      <c r="B4" t="s">
        <v>170</v>
      </c>
      <c r="D4">
        <v>1</v>
      </c>
      <c r="G4" t="s">
        <v>166</v>
      </c>
      <c r="H4" t="s">
        <v>167</v>
      </c>
      <c r="I4" t="s">
        <v>171</v>
      </c>
    </row>
    <row r="5" spans="1:9" x14ac:dyDescent="0.25">
      <c r="A5" t="s">
        <v>172</v>
      </c>
      <c r="B5" t="s">
        <v>173</v>
      </c>
      <c r="D5">
        <v>0.5</v>
      </c>
      <c r="G5" t="s">
        <v>166</v>
      </c>
      <c r="H5" t="s">
        <v>167</v>
      </c>
      <c r="I5" t="s">
        <v>174</v>
      </c>
    </row>
    <row r="6" spans="1:9" x14ac:dyDescent="0.25">
      <c r="A6" t="s">
        <v>175</v>
      </c>
      <c r="B6" t="s">
        <v>176</v>
      </c>
      <c r="D6">
        <v>92.6</v>
      </c>
      <c r="G6" t="s">
        <v>177</v>
      </c>
      <c r="H6" t="s">
        <v>178</v>
      </c>
      <c r="I6" t="s">
        <v>179</v>
      </c>
    </row>
    <row r="7" spans="1:9" x14ac:dyDescent="0.25">
      <c r="A7" t="s">
        <v>180</v>
      </c>
      <c r="B7" t="s">
        <v>181</v>
      </c>
      <c r="C7">
        <f>6000/92.6</f>
        <v>64.794816414686835</v>
      </c>
      <c r="D7">
        <v>64.794816414686807</v>
      </c>
      <c r="G7" t="s">
        <v>126</v>
      </c>
      <c r="H7" t="s">
        <v>167</v>
      </c>
      <c r="I7" t="s">
        <v>182</v>
      </c>
    </row>
    <row r="8" spans="1:9" ht="75" x14ac:dyDescent="0.25">
      <c r="A8" s="25" t="s">
        <v>183</v>
      </c>
      <c r="B8" s="25" t="s">
        <v>184</v>
      </c>
      <c r="C8" s="25">
        <f>12000/92.6</f>
        <v>129.58963282937367</v>
      </c>
      <c r="D8" s="25">
        <v>129.58963282937401</v>
      </c>
      <c r="E8" s="25"/>
      <c r="F8" s="25"/>
      <c r="G8" s="25" t="s">
        <v>126</v>
      </c>
      <c r="H8" s="25" t="s">
        <v>185</v>
      </c>
      <c r="I8" s="27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</vt:lpstr>
      <vt:lpstr>NPY 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Sasidharan</cp:lastModifiedBy>
  <cp:revision>0</cp:revision>
  <dcterms:created xsi:type="dcterms:W3CDTF">2026-04-10T11:56:50Z</dcterms:created>
  <dcterms:modified xsi:type="dcterms:W3CDTF">2026-08-19T08:01:25Z</dcterms:modified>
  <dc:language>en-US</dc:language>
</cp:coreProperties>
</file>